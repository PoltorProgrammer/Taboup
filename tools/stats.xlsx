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taboup\tools\"/>
    </mc:Choice>
  </mc:AlternateContent>
  <xr:revisionPtr revIDLastSave="0" documentId="13_ncr:1_{AAB6D9EF-042B-4D47-9F83-BD0E5E5024A6}" xr6:coauthVersionLast="47" xr6:coauthVersionMax="47" xr10:uidLastSave="{00000000-0000-0000-0000-000000000000}"/>
  <bookViews>
    <workbookView xWindow="-110" yWindow="-110" windowWidth="19420" windowHeight="10300" xr2:uid="{AEA3A4D6-D22C-46D1-BAD8-5A11601DECCE}"/>
  </bookViews>
  <sheets>
    <sheet name="sta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4" i="1" l="1"/>
  <c r="C2" i="1"/>
  <c r="E3" i="1"/>
  <c r="E4" i="1" s="1"/>
  <c r="B21" i="1" l="1"/>
  <c r="C21" i="1"/>
  <c r="B22" i="1"/>
  <c r="C22" i="1"/>
  <c r="B13" i="1"/>
  <c r="C13" i="1"/>
  <c r="B14" i="1"/>
  <c r="B18" i="1"/>
  <c r="B4" i="1"/>
  <c r="B8" i="1"/>
  <c r="B12" i="1"/>
  <c r="C18" i="1"/>
  <c r="C4" i="1"/>
  <c r="C8" i="1"/>
  <c r="C12" i="1"/>
  <c r="B15" i="1"/>
  <c r="B19" i="1"/>
  <c r="B5" i="1"/>
  <c r="B9" i="1"/>
  <c r="C15" i="1"/>
  <c r="C19" i="1"/>
  <c r="C5" i="1"/>
  <c r="C9" i="1"/>
  <c r="B2" i="1"/>
  <c r="B16" i="1"/>
  <c r="B20" i="1"/>
  <c r="B6" i="1"/>
  <c r="B10" i="1"/>
  <c r="C16" i="1"/>
  <c r="C20" i="1"/>
  <c r="C6" i="1"/>
  <c r="C10" i="1"/>
  <c r="B17" i="1"/>
  <c r="B3" i="1"/>
  <c r="B7" i="1"/>
  <c r="B11" i="1"/>
  <c r="C17" i="1"/>
  <c r="C3" i="1"/>
  <c r="C7" i="1"/>
  <c r="C11" i="1"/>
  <c r="C14" i="1"/>
  <c r="R3" i="1" l="1"/>
</calcChain>
</file>

<file path=xl/sharedStrings.xml><?xml version="1.0" encoding="utf-8"?>
<sst xmlns="http://schemas.openxmlformats.org/spreadsheetml/2006/main" count="10" uniqueCount="10">
  <si>
    <t>Repeticiones (k)</t>
  </si>
  <si>
    <t>Prob. EXACTA</t>
  </si>
  <si>
    <t>nº casillas moradas</t>
  </si>
  <si>
    <t>λ (promedio de repeticiones)</t>
  </si>
  <si>
    <t>Prob. ACUMULADA (al menos k)</t>
  </si>
  <si>
    <t>m (nº max de cartas en una partida)</t>
  </si>
  <si>
    <t>nº casillas azules</t>
  </si>
  <si>
    <t>n (nº total de cartas en el juego)</t>
  </si>
  <si>
    <t>1. Gráfico de Probabilidad Exacta (Distribución de Frecuencias)</t>
  </si>
  <si>
    <t>2. Gráfico de Probabilidad Acumulada (Curva de Supervivencia)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</si>
</sst>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applyAlignment="1">
      <alignment horizontal="center" vertical="center"/>
    </xf>
    <xf numFmtId="10" fontId="0" fillId="2" borderId="0" xfId="0" applyNumberFormat="1" applyFill="1" applyAlignment="1">
      <alignment horizontal="center" vertical="center"/>
    </xf>
    <xf numFmtId="0" fontId="0" fillId="0" borderId="0" xfId="0" applyFill="1" applyAlignment="1">
      <alignment horizontal="center" vertical="center"/>
    </xf>
    <xf numFmtId="10" fontId="0" fillId="0" borderId="0" xfId="0" applyNumberFormat="1" applyFill="1" applyAlignment="1">
      <alignment horizontal="center" vertical="center"/>
    </xf>
    <xf numFmtId="0" fontId="0" fillId="0" borderId="0" xfId="0" applyFill="1" applyAlignment="1">
      <alignment horizontal="center" vertical="center" wrapText="1"/>
    </xf>
    <xf numFmtId="0" fontId="0" fillId="3" borderId="0" xfId="0" applyFill="1" applyAlignment="1">
      <alignment horizontal="left" vertical="center"/>
    </xf>
    <xf numFmtId="0" fontId="0" fillId="3" borderId="0" xfId="0" applyFill="1" applyAlignment="1">
      <alignment horizontal="center" vertical="center"/>
    </xf>
    <xf numFmtId="0" fontId="0" fillId="4" borderId="0" xfId="0" applyFill="1" applyAlignment="1">
      <alignment horizontal="center" vertical="center"/>
    </xf>
    <xf numFmtId="2" fontId="0" fillId="4" borderId="0" xfId="0" applyNumberFormat="1" applyFill="1" applyAlignment="1">
      <alignment horizontal="center" vertical="center"/>
    </xf>
    <xf numFmtId="0" fontId="0" fillId="2" borderId="0" xfId="0" applyFill="1" applyAlignment="1">
      <alignment horizontal="left" vertical="top" wrapText="1"/>
    </xf>
    <xf numFmtId="0" fontId="1" fillId="2" borderId="0" xfId="0" applyFont="1" applyFill="1" applyAlignment="1">
      <alignment horizontal="left" vertical="center"/>
    </xf>
    <xf numFmtId="0" fontId="0" fillId="2" borderId="0" xfId="0" applyFill="1" applyAlignment="1">
      <alignment vertical="top" wrapText="1"/>
    </xf>
  </cellXfs>
  <cellStyles count="1">
    <cellStyle name="Normal" xfId="0" builtinId="0"/>
  </cellStyles>
  <dxfs count="5">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Gráfico 1: Distribución de Probabilidad de Cartas Repetidas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stats!$B$1</c:f>
              <c:strCache>
                <c:ptCount val="1"/>
                <c:pt idx="0">
                  <c:v>Prob. EXACTA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stats!$A$2:$A$16</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xVal>
          <c:yVal>
            <c:numRef>
              <c:f>stats!$B$2:$B$16</c:f>
              <c:numCache>
                <c:formatCode>0.00%</c:formatCode>
                <c:ptCount val="15"/>
                <c:pt idx="0">
                  <c:v>5.2830946593001565E-3</c:v>
                </c:pt>
                <c:pt idx="1">
                  <c:v>2.7700550375790008E-2</c:v>
                </c:pt>
                <c:pt idx="2">
                  <c:v>7.2620361795990004E-2</c:v>
                </c:pt>
                <c:pt idx="3">
                  <c:v>0.12692207376956813</c:v>
                </c:pt>
                <c:pt idx="4">
                  <c:v>0.16637082642767717</c:v>
                </c:pt>
                <c:pt idx="5">
                  <c:v>0.17446454230794251</c:v>
                </c:pt>
                <c:pt idx="6">
                  <c:v>0.15246000544027405</c:v>
                </c:pt>
                <c:pt idx="7">
                  <c:v>0.11419784191279214</c:v>
                </c:pt>
                <c:pt idx="8">
                  <c:v>7.4845882875275924E-2</c:v>
                </c:pt>
                <c:pt idx="9">
                  <c:v>4.3603907741151728E-2</c:v>
                </c:pt>
                <c:pt idx="10">
                  <c:v>2.2862589464279565E-2</c:v>
                </c:pt>
                <c:pt idx="11">
                  <c:v>1.0897647066511643E-2</c:v>
                </c:pt>
                <c:pt idx="12">
                  <c:v>4.7615845290613834E-3</c:v>
                </c:pt>
                <c:pt idx="13">
                  <c:v>1.9204727622409764E-3</c:v>
                </c:pt>
                <c:pt idx="14">
                  <c:v>7.1925041674662034E-4</c:v>
                </c:pt>
              </c:numCache>
            </c:numRef>
          </c:yVal>
          <c:smooth val="1"/>
          <c:extLst>
            <c:ext xmlns:c16="http://schemas.microsoft.com/office/drawing/2014/chart" uri="{C3380CC4-5D6E-409C-BE32-E72D297353CC}">
              <c16:uniqueId val="{00000000-C188-42A0-9BD8-12C03150A5A0}"/>
            </c:ext>
          </c:extLst>
        </c:ser>
        <c:dLbls>
          <c:showLegendKey val="0"/>
          <c:showVal val="0"/>
          <c:showCatName val="0"/>
          <c:showSerName val="0"/>
          <c:showPercent val="0"/>
          <c:showBubbleSize val="0"/>
        </c:dLbls>
        <c:axId val="2071289440"/>
        <c:axId val="2071292320"/>
      </c:scatterChart>
      <c:valAx>
        <c:axId val="2071289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292320"/>
        <c:crosses val="autoZero"/>
        <c:crossBetween val="midCat"/>
      </c:valAx>
      <c:valAx>
        <c:axId val="2071292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2894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Gráfico 2: Curva de Probabilidad: Al menos "k" repeticiones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stats!$A$2:$A$17</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xVal>
          <c:yVal>
            <c:numRef>
              <c:f>stats!$C$2:$C$17</c:f>
              <c:numCache>
                <c:formatCode>0.00%</c:formatCode>
                <c:ptCount val="16"/>
                <c:pt idx="0">
                  <c:v>1</c:v>
                </c:pt>
                <c:pt idx="1">
                  <c:v>0.9947169053406999</c:v>
                </c:pt>
                <c:pt idx="2">
                  <c:v>0.96701635496490979</c:v>
                </c:pt>
                <c:pt idx="3">
                  <c:v>0.89439599316891982</c:v>
                </c:pt>
                <c:pt idx="4">
                  <c:v>0.76747391939935172</c:v>
                </c:pt>
                <c:pt idx="5">
                  <c:v>0.60110309297167452</c:v>
                </c:pt>
                <c:pt idx="6">
                  <c:v>0.42663855066373202</c:v>
                </c:pt>
                <c:pt idx="7">
                  <c:v>0.27417854522345797</c:v>
                </c:pt>
                <c:pt idx="8">
                  <c:v>0.15998070331066583</c:v>
                </c:pt>
                <c:pt idx="9">
                  <c:v>8.5134820435389891E-2</c:v>
                </c:pt>
                <c:pt idx="10">
                  <c:v>4.1530912694238253E-2</c:v>
                </c:pt>
                <c:pt idx="11">
                  <c:v>1.8668323229958705E-2</c:v>
                </c:pt>
                <c:pt idx="12">
                  <c:v>7.7706761634470656E-3</c:v>
                </c:pt>
                <c:pt idx="13">
                  <c:v>3.0090916343856744E-3</c:v>
                </c:pt>
                <c:pt idx="14">
                  <c:v>1.0886188721446199E-3</c:v>
                </c:pt>
                <c:pt idx="15">
                  <c:v>3.6936845539803365E-4</c:v>
                </c:pt>
              </c:numCache>
            </c:numRef>
          </c:yVal>
          <c:smooth val="1"/>
          <c:extLst>
            <c:ext xmlns:c16="http://schemas.microsoft.com/office/drawing/2014/chart" uri="{C3380CC4-5D6E-409C-BE32-E72D297353CC}">
              <c16:uniqueId val="{00000000-A209-487B-9D51-ADFECD72ABFB}"/>
            </c:ext>
          </c:extLst>
        </c:ser>
        <c:dLbls>
          <c:showLegendKey val="0"/>
          <c:showVal val="0"/>
          <c:showCatName val="0"/>
          <c:showSerName val="0"/>
          <c:showPercent val="0"/>
          <c:showBubbleSize val="0"/>
        </c:dLbls>
        <c:axId val="115788736"/>
        <c:axId val="115772416"/>
      </c:scatterChart>
      <c:valAx>
        <c:axId val="115788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72416"/>
        <c:crosses val="autoZero"/>
        <c:crossBetween val="midCat"/>
      </c:valAx>
      <c:valAx>
        <c:axId val="115772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87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342900</xdr:colOff>
      <xdr:row>4</xdr:row>
      <xdr:rowOff>168275</xdr:rowOff>
    </xdr:from>
    <xdr:to>
      <xdr:col>11</xdr:col>
      <xdr:colOff>38100</xdr:colOff>
      <xdr:row>19</xdr:row>
      <xdr:rowOff>149225</xdr:rowOff>
    </xdr:to>
    <xdr:graphicFrame macro="">
      <xdr:nvGraphicFramePr>
        <xdr:cNvPr id="4" name="Chart 3">
          <a:extLst>
            <a:ext uri="{FF2B5EF4-FFF2-40B4-BE49-F238E27FC236}">
              <a16:creationId xmlns:a16="http://schemas.microsoft.com/office/drawing/2014/main" id="{0CFFADB8-42BE-E13A-94D3-DDD436C6F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363764</xdr:colOff>
      <xdr:row>4</xdr:row>
      <xdr:rowOff>158749</xdr:rowOff>
    </xdr:from>
    <xdr:to>
      <xdr:col>16</xdr:col>
      <xdr:colOff>192716</xdr:colOff>
      <xdr:row>26</xdr:row>
      <xdr:rowOff>96260</xdr:rowOff>
    </xdr:to>
    <xdr:pic>
      <xdr:nvPicPr>
        <xdr:cNvPr id="7" name="Picture 6">
          <a:extLst>
            <a:ext uri="{FF2B5EF4-FFF2-40B4-BE49-F238E27FC236}">
              <a16:creationId xmlns:a16="http://schemas.microsoft.com/office/drawing/2014/main" id="{ABEA55EC-8F90-1663-E07D-8EDC511F6E77}"/>
            </a:ext>
          </a:extLst>
        </xdr:cNvPr>
        <xdr:cNvPicPr>
          <a:picLocks noChangeAspect="1"/>
        </xdr:cNvPicPr>
      </xdr:nvPicPr>
      <xdr:blipFill>
        <a:blip xmlns:r="http://schemas.openxmlformats.org/officeDocument/2006/relationships" r:embed="rId2"/>
        <a:stretch>
          <a:fillRect/>
        </a:stretch>
      </xdr:blipFill>
      <xdr:spPr>
        <a:xfrm>
          <a:off x="8999764" y="1095374"/>
          <a:ext cx="2845202" cy="4128511"/>
        </a:xfrm>
        <a:prstGeom prst="rect">
          <a:avLst/>
        </a:prstGeom>
      </xdr:spPr>
    </xdr:pic>
    <xdr:clientData/>
  </xdr:twoCellAnchor>
  <xdr:twoCellAnchor>
    <xdr:from>
      <xdr:col>3</xdr:col>
      <xdr:colOff>370780</xdr:colOff>
      <xdr:row>20</xdr:row>
      <xdr:rowOff>132324</xdr:rowOff>
    </xdr:from>
    <xdr:to>
      <xdr:col>11</xdr:col>
      <xdr:colOff>85030</xdr:colOff>
      <xdr:row>35</xdr:row>
      <xdr:rowOff>137554</xdr:rowOff>
    </xdr:to>
    <xdr:graphicFrame macro="">
      <xdr:nvGraphicFramePr>
        <xdr:cNvPr id="9" name="Chart 8">
          <a:extLst>
            <a:ext uri="{FF2B5EF4-FFF2-40B4-BE49-F238E27FC236}">
              <a16:creationId xmlns:a16="http://schemas.microsoft.com/office/drawing/2014/main" id="{5054CDBB-EDED-02B7-27BE-24AC977A9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0099B8-8B72-48B0-9DEE-8EBBC45E2C8F}" name="Table1" displayName="Table1" ref="A1:C22" totalsRowShown="0" headerRowDxfId="0" dataDxfId="1">
  <autoFilter ref="A1:C22" xr:uid="{A20099B8-8B72-48B0-9DEE-8EBBC45E2C8F}"/>
  <tableColumns count="3">
    <tableColumn id="1" xr3:uid="{69A6770B-FC59-46AF-9EF3-E2F0726F4B1F}" name="Repeticiones (k)" dataDxfId="4"/>
    <tableColumn id="2" xr3:uid="{354263F8-4027-4E55-8EFB-D5A26312737B}" name="Prob. EXACTA" dataDxfId="3">
      <calculatedColumnFormula>_xlfn.POISSON.DIST(A2, $E$4, FALSE)</calculatedColumnFormula>
    </tableColumn>
    <tableColumn id="3" xr3:uid="{7246FEE6-11DC-4A5B-87AC-0ABB2CD16E68}" name="Prob. ACUMULADA (al menos k)" dataDxfId="2">
      <calculatedColumnFormula>IF(A2&gt;0, 1 - _xlfn.POISSON.DIST(A2 - 1, $E$4, TRUE),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0236-DD9D-4DE5-9CFA-4161DA08E7A3}">
  <dimension ref="A1:Z27"/>
  <sheetViews>
    <sheetView tabSelected="1" zoomScale="40" zoomScaleNormal="40" workbookViewId="0">
      <selection activeCell="X39" sqref="X39"/>
    </sheetView>
  </sheetViews>
  <sheetFormatPr defaultRowHeight="14.5" x14ac:dyDescent="0.35"/>
  <cols>
    <col min="1" max="3" width="18.1796875" style="1" customWidth="1"/>
    <col min="4" max="16384" width="8.7265625" style="1"/>
  </cols>
  <sheetData>
    <row r="1" spans="1:26" ht="29" x14ac:dyDescent="0.35">
      <c r="A1" s="5" t="s">
        <v>0</v>
      </c>
      <c r="B1" s="5" t="s">
        <v>1</v>
      </c>
      <c r="C1" s="5" t="s">
        <v>4</v>
      </c>
    </row>
    <row r="2" spans="1:26" x14ac:dyDescent="0.35">
      <c r="A2" s="3">
        <v>0</v>
      </c>
      <c r="B2" s="4">
        <f>_xlfn.POISSON.DIST(A2, $E$4, FALSE)</f>
        <v>5.2830946593001565E-3</v>
      </c>
      <c r="C2" s="4">
        <f>IF(A2&gt;0, 1 - _xlfn.POISSON.DIST(A2 - 1, $E$4, TRUE), 1)</f>
        <v>1</v>
      </c>
      <c r="E2" s="8">
        <v>888</v>
      </c>
      <c r="F2" s="6" t="s">
        <v>7</v>
      </c>
      <c r="G2" s="7"/>
      <c r="H2" s="7"/>
      <c r="I2" s="7"/>
      <c r="K2" s="8">
        <v>19</v>
      </c>
      <c r="L2" s="6" t="s">
        <v>6</v>
      </c>
      <c r="M2" s="7"/>
      <c r="N2" s="7"/>
      <c r="O2" s="7"/>
      <c r="R2" s="11" t="s">
        <v>8</v>
      </c>
    </row>
    <row r="3" spans="1:26" ht="14.5" customHeight="1" x14ac:dyDescent="0.35">
      <c r="A3" s="3">
        <v>1</v>
      </c>
      <c r="B3" s="4">
        <f>_xlfn.POISSON.DIST(A3, $E$4, FALSE)</f>
        <v>2.7700550375790008E-2</v>
      </c>
      <c r="C3" s="4">
        <f>IF(A3&gt;0, 1 - _xlfn.POISSON.DIST(A3 - 1, $E$4, TRUE), 1)</f>
        <v>0.9947169053406999</v>
      </c>
      <c r="E3" s="8">
        <f>(K2+K3*3)*2-1</f>
        <v>97</v>
      </c>
      <c r="F3" s="6" t="s">
        <v>5</v>
      </c>
      <c r="G3" s="7"/>
      <c r="H3" s="7"/>
      <c r="I3" s="7"/>
      <c r="K3" s="8">
        <v>10</v>
      </c>
      <c r="L3" s="6" t="s">
        <v>2</v>
      </c>
      <c r="M3" s="7"/>
      <c r="N3" s="7"/>
      <c r="O3" s="7"/>
      <c r="R3" s="10" t="str">
        <f>"Este gráfico representa la probabilidad individual de que ocurra un número específico de repeticiones en una sola partida. Se basa en la Distribución de Poisson para predecir la frecuencia de eventos aleatorios dentro de un intervalo fijo. " &amp; "La curva alcanza su punto máximo en el valor Lambda (λ ≈ " &amp; ROUND($E$3,2) &amp; "), que es el promedio teórico. Lo que el gráfico nos dice es que lo más probable es que veas exactamente " &amp; INDEX(A1:A22, MATCH(MAX(B1:B22), B1:B22, 0)) &amp; " o " &amp; INDEX(A1:A22, MATCH(MAX(B1:B22), B1:B22, 0))+1 &amp; " cartas duplicadas."</f>
        <v>Este gráfico representa la probabilidad individual de que ocurra un número específico de repeticiones en una sola partida. Se basa en la Distribución de Poisson para predecir la frecuencia de eventos aleatorios dentro de un intervalo fijo. La curva alcanza su punto máximo en el valor Lambda (λ ≈ 97), que es el promedio teórico. Lo que el gráfico nos dice es que lo más probable es que veas exactamente 5 o 6 cartas duplicadas.</v>
      </c>
      <c r="S3" s="10"/>
      <c r="T3" s="10"/>
      <c r="U3" s="10"/>
      <c r="V3" s="10"/>
      <c r="W3" s="10"/>
      <c r="X3" s="10"/>
      <c r="Y3" s="10"/>
      <c r="Z3" s="10"/>
    </row>
    <row r="4" spans="1:26" x14ac:dyDescent="0.35">
      <c r="A4" s="3">
        <v>2</v>
      </c>
      <c r="B4" s="4">
        <f>_xlfn.POISSON.DIST(A4, $E$4, FALSE)</f>
        <v>7.2620361795990004E-2</v>
      </c>
      <c r="C4" s="4">
        <f>IF(A4&gt;0, 1 - _xlfn.POISSON.DIST(A4 - 1, $E$4, TRUE), 1)</f>
        <v>0.96701635496490979</v>
      </c>
      <c r="E4" s="9">
        <f>(E3*(E3-1))/(2*E2)</f>
        <v>5.243243243243243</v>
      </c>
      <c r="F4" s="6" t="s">
        <v>3</v>
      </c>
      <c r="G4" s="7"/>
      <c r="H4" s="7"/>
      <c r="I4" s="7"/>
      <c r="R4" s="10"/>
      <c r="S4" s="10"/>
      <c r="T4" s="10"/>
      <c r="U4" s="10"/>
      <c r="V4" s="10"/>
      <c r="W4" s="10"/>
      <c r="X4" s="10"/>
      <c r="Y4" s="10"/>
      <c r="Z4" s="10"/>
    </row>
    <row r="5" spans="1:26" x14ac:dyDescent="0.35">
      <c r="A5" s="3">
        <v>3</v>
      </c>
      <c r="B5" s="4">
        <f>_xlfn.POISSON.DIST(A5, $E$4, FALSE)</f>
        <v>0.12692207376956813</v>
      </c>
      <c r="C5" s="4">
        <f>IF(A5&gt;0, 1 - _xlfn.POISSON.DIST(A5 - 1, $E$4, TRUE), 1)</f>
        <v>0.89439599316891982</v>
      </c>
      <c r="R5" s="10"/>
      <c r="S5" s="10"/>
      <c r="T5" s="10"/>
      <c r="U5" s="10"/>
      <c r="V5" s="10"/>
      <c r="W5" s="10"/>
      <c r="X5" s="10"/>
      <c r="Y5" s="10"/>
      <c r="Z5" s="10"/>
    </row>
    <row r="6" spans="1:26" x14ac:dyDescent="0.35">
      <c r="A6" s="3">
        <v>4</v>
      </c>
      <c r="B6" s="4">
        <f>_xlfn.POISSON.DIST(A6, $E$4, FALSE)</f>
        <v>0.16637082642767717</v>
      </c>
      <c r="C6" s="4">
        <f>IF(A6&gt;0, 1 - _xlfn.POISSON.DIST(A6 - 1, $E$4, TRUE), 1)</f>
        <v>0.76747391939935172</v>
      </c>
      <c r="R6" s="10"/>
      <c r="S6" s="10"/>
      <c r="T6" s="10"/>
      <c r="U6" s="10"/>
      <c r="V6" s="10"/>
      <c r="W6" s="10"/>
      <c r="X6" s="10"/>
      <c r="Y6" s="10"/>
      <c r="Z6" s="10"/>
    </row>
    <row r="7" spans="1:26" x14ac:dyDescent="0.35">
      <c r="A7" s="3">
        <v>5</v>
      </c>
      <c r="B7" s="4">
        <f>_xlfn.POISSON.DIST(A7, $E$4, FALSE)</f>
        <v>0.17446454230794251</v>
      </c>
      <c r="C7" s="4">
        <f>IF(A7&gt;0, 1 - _xlfn.POISSON.DIST(A7 - 1, $E$4, TRUE), 1)</f>
        <v>0.60110309297167452</v>
      </c>
      <c r="R7" s="10"/>
      <c r="S7" s="10"/>
      <c r="T7" s="10"/>
      <c r="U7" s="10"/>
      <c r="V7" s="10"/>
      <c r="W7" s="10"/>
      <c r="X7" s="10"/>
      <c r="Y7" s="10"/>
      <c r="Z7" s="10"/>
    </row>
    <row r="8" spans="1:26" x14ac:dyDescent="0.35">
      <c r="A8" s="3">
        <v>6</v>
      </c>
      <c r="B8" s="4">
        <f>_xlfn.POISSON.DIST(A8, $E$4, FALSE)</f>
        <v>0.15246000544027405</v>
      </c>
      <c r="C8" s="4">
        <f>IF(A8&gt;0, 1 - _xlfn.POISSON.DIST(A8 - 1, $E$4, TRUE), 1)</f>
        <v>0.42663855066373202</v>
      </c>
      <c r="R8" s="10"/>
      <c r="S8" s="10"/>
      <c r="T8" s="10"/>
      <c r="U8" s="10"/>
      <c r="V8" s="10"/>
      <c r="W8" s="10"/>
      <c r="X8" s="10"/>
      <c r="Y8" s="10"/>
      <c r="Z8" s="10"/>
    </row>
    <row r="9" spans="1:26" x14ac:dyDescent="0.35">
      <c r="A9" s="3">
        <v>7</v>
      </c>
      <c r="B9" s="4">
        <f>_xlfn.POISSON.DIST(A9, $E$4, FALSE)</f>
        <v>0.11419784191279214</v>
      </c>
      <c r="C9" s="4">
        <f>IF(A9&gt;0, 1 - _xlfn.POISSON.DIST(A9 - 1, $E$4, TRUE), 1)</f>
        <v>0.27417854522345797</v>
      </c>
      <c r="R9" s="10"/>
      <c r="S9" s="10"/>
      <c r="T9" s="10"/>
      <c r="U9" s="10"/>
      <c r="V9" s="10"/>
      <c r="W9" s="10"/>
      <c r="X9" s="10"/>
      <c r="Y9" s="10"/>
      <c r="Z9" s="10"/>
    </row>
    <row r="10" spans="1:26" x14ac:dyDescent="0.35">
      <c r="A10" s="3">
        <v>8</v>
      </c>
      <c r="B10" s="4">
        <f>_xlfn.POISSON.DIST(A10, $E$4, FALSE)</f>
        <v>7.4845882875275924E-2</v>
      </c>
      <c r="C10" s="4">
        <f>IF(A10&gt;0, 1 - _xlfn.POISSON.DIST(A10 - 1, $E$4, TRUE), 1)</f>
        <v>0.15998070331066583</v>
      </c>
      <c r="R10" s="10"/>
      <c r="S10" s="10"/>
      <c r="T10" s="10"/>
      <c r="U10" s="10"/>
      <c r="V10" s="10"/>
      <c r="W10" s="10"/>
      <c r="X10" s="10"/>
      <c r="Y10" s="10"/>
      <c r="Z10" s="10"/>
    </row>
    <row r="11" spans="1:26" x14ac:dyDescent="0.35">
      <c r="A11" s="3">
        <v>9</v>
      </c>
      <c r="B11" s="4">
        <f>_xlfn.POISSON.DIST(A11, $E$4, FALSE)</f>
        <v>4.3603907741151728E-2</v>
      </c>
      <c r="C11" s="4">
        <f>IF(A11&gt;0, 1 - _xlfn.POISSON.DIST(A11 - 1, $E$4, TRUE), 1)</f>
        <v>8.5134820435389891E-2</v>
      </c>
      <c r="R11" s="10"/>
      <c r="S11" s="10"/>
      <c r="T11" s="10"/>
      <c r="U11" s="10"/>
      <c r="V11" s="10"/>
      <c r="W11" s="10"/>
      <c r="X11" s="10"/>
      <c r="Y11" s="10"/>
      <c r="Z11" s="10"/>
    </row>
    <row r="12" spans="1:26" x14ac:dyDescent="0.35">
      <c r="A12" s="3">
        <v>10</v>
      </c>
      <c r="B12" s="4">
        <f>_xlfn.POISSON.DIST(A12, $E$4, FALSE)</f>
        <v>2.2862589464279565E-2</v>
      </c>
      <c r="C12" s="4">
        <f>IF(A12&gt;0, 1 - _xlfn.POISSON.DIST(A12 - 1, $E$4, TRUE), 1)</f>
        <v>4.1530912694238253E-2</v>
      </c>
      <c r="R12" s="12"/>
      <c r="S12" s="12"/>
      <c r="T12" s="12"/>
      <c r="U12" s="12"/>
      <c r="V12" s="12"/>
      <c r="W12" s="12"/>
      <c r="X12" s="12"/>
      <c r="Y12" s="12"/>
      <c r="Z12" s="12"/>
    </row>
    <row r="13" spans="1:26" x14ac:dyDescent="0.35">
      <c r="A13" s="3">
        <v>11</v>
      </c>
      <c r="B13" s="4">
        <f>_xlfn.POISSON.DIST(A13, $E$4, FALSE)</f>
        <v>1.0897647066511643E-2</v>
      </c>
      <c r="C13" s="4">
        <f>IF(A13&gt;0, 1 - _xlfn.POISSON.DIST(A13 - 1, $E$4, TRUE), 1)</f>
        <v>1.8668323229958705E-2</v>
      </c>
      <c r="R13" s="11" t="s">
        <v>9</v>
      </c>
    </row>
    <row r="14" spans="1:26" x14ac:dyDescent="0.35">
      <c r="A14" s="3">
        <v>12</v>
      </c>
      <c r="B14" s="4">
        <f>_xlfn.POISSON.DIST(A14, $E$4, FALSE)</f>
        <v>4.7615845290613834E-3</v>
      </c>
      <c r="C14" s="4">
        <f>IF(A14&gt;0, 1 - _xlfn.POISSON.DIST(A14 - 1, $E$4, TRUE), 1)</f>
        <v>7.7706761634470656E-3</v>
      </c>
      <c r="R14" s="10" t="str">
        <f>"Este gráfico muestra la probabilidad de alcanzar AL MENOS un número de repeticiones. Se basa en restar del 100% los casos con menos de k repeticiones. El promedio es de " &amp; ROUND($E$3,2) &amp; ". La curva indica que es casi inevitable tener repeticiones y que en el 50% de las partidas se alcanzará el umbral de " &amp; INDEX(A1:A22, MATCH(0.5, C1:C22, -1)) &amp; " cartas o más."</f>
        <v>Este gráfico muestra la probabilidad de alcanzar AL MENOS un número de repeticiones. Se basa en restar del 100% los casos con menos de k repeticiones. El promedio es de 97. La curva indica que es casi inevitable tener repeticiones y que en el 50% de las partidas se alcanzará el umbral de 5 cartas o más.</v>
      </c>
      <c r="S14" s="10"/>
      <c r="T14" s="10"/>
      <c r="U14" s="10"/>
      <c r="V14" s="10"/>
      <c r="W14" s="10"/>
      <c r="X14" s="10"/>
      <c r="Y14" s="10"/>
      <c r="Z14" s="10"/>
    </row>
    <row r="15" spans="1:26" x14ac:dyDescent="0.35">
      <c r="A15" s="3">
        <v>13</v>
      </c>
      <c r="B15" s="4">
        <f>_xlfn.POISSON.DIST(A15, $E$4, FALSE)</f>
        <v>1.9204727622409764E-3</v>
      </c>
      <c r="C15" s="4">
        <f>IF(A15&gt;0, 1 - _xlfn.POISSON.DIST(A15 - 1, $E$4, TRUE), 1)</f>
        <v>3.0090916343856744E-3</v>
      </c>
      <c r="R15" s="10"/>
      <c r="S15" s="10"/>
      <c r="T15" s="10"/>
      <c r="U15" s="10"/>
      <c r="V15" s="10"/>
      <c r="W15" s="10"/>
      <c r="X15" s="10"/>
      <c r="Y15" s="10"/>
      <c r="Z15" s="10"/>
    </row>
    <row r="16" spans="1:26" x14ac:dyDescent="0.35">
      <c r="A16" s="3">
        <v>14</v>
      </c>
      <c r="B16" s="4">
        <f>_xlfn.POISSON.DIST(A16, $E$4, FALSE)</f>
        <v>7.1925041674662034E-4</v>
      </c>
      <c r="C16" s="4">
        <f>IF(A16&gt;0, 1 - _xlfn.POISSON.DIST(A16 - 1, $E$4, TRUE), 1)</f>
        <v>1.0886188721446199E-3</v>
      </c>
      <c r="R16" s="10"/>
      <c r="S16" s="10"/>
      <c r="T16" s="10"/>
      <c r="U16" s="10"/>
      <c r="V16" s="10"/>
      <c r="W16" s="10"/>
      <c r="X16" s="10"/>
      <c r="Y16" s="10"/>
      <c r="Z16" s="10"/>
    </row>
    <row r="17" spans="1:26" x14ac:dyDescent="0.35">
      <c r="A17" s="3">
        <v>15</v>
      </c>
      <c r="B17" s="4">
        <f>_xlfn.POISSON.DIST(A17, $E$4, FALSE)</f>
        <v>2.5141365918710705E-4</v>
      </c>
      <c r="C17" s="4">
        <f>IF(A17&gt;0, 1 - _xlfn.POISSON.DIST(A17 - 1, $E$4, TRUE), 1)</f>
        <v>3.6936845539803365E-4</v>
      </c>
      <c r="R17" s="10"/>
      <c r="S17" s="10"/>
      <c r="T17" s="10"/>
      <c r="U17" s="10"/>
      <c r="V17" s="10"/>
      <c r="W17" s="10"/>
      <c r="X17" s="10"/>
      <c r="Y17" s="10"/>
      <c r="Z17" s="10"/>
    </row>
    <row r="18" spans="1:26" x14ac:dyDescent="0.35">
      <c r="A18" s="3">
        <v>16</v>
      </c>
      <c r="B18" s="4">
        <f>_xlfn.POISSON.DIST(A18, $E$4, FALSE)</f>
        <v>8.2388935611991024E-5</v>
      </c>
      <c r="C18" s="4">
        <f>IF(A18&gt;0, 1 - _xlfn.POISSON.DIST(A18 - 1, $E$4, TRUE), 1)</f>
        <v>1.1795479621090621E-4</v>
      </c>
      <c r="R18" s="10"/>
      <c r="S18" s="10"/>
      <c r="T18" s="10"/>
      <c r="U18" s="10"/>
      <c r="V18" s="10"/>
      <c r="W18" s="10"/>
      <c r="X18" s="10"/>
      <c r="Y18" s="10"/>
      <c r="Z18" s="10"/>
    </row>
    <row r="19" spans="1:26" x14ac:dyDescent="0.35">
      <c r="A19" s="3">
        <v>17</v>
      </c>
      <c r="B19" s="4">
        <f>_xlfn.POISSON.DIST(A19, $E$4, FALSE)</f>
        <v>2.5410895880328048E-5</v>
      </c>
      <c r="C19" s="4">
        <f>IF(A19&gt;0, 1 - _xlfn.POISSON.DIST(A19 - 1, $E$4, TRUE), 1)</f>
        <v>3.5565860598940624E-5</v>
      </c>
      <c r="R19" s="10"/>
      <c r="S19" s="10"/>
      <c r="T19" s="10"/>
      <c r="U19" s="10"/>
      <c r="V19" s="10"/>
      <c r="W19" s="10"/>
      <c r="X19" s="10"/>
      <c r="Y19" s="10"/>
      <c r="Z19" s="10"/>
    </row>
    <row r="20" spans="1:26" x14ac:dyDescent="0.35">
      <c r="A20" s="3">
        <v>18</v>
      </c>
      <c r="B20" s="4">
        <f>_xlfn.POISSON.DIST(A20, $E$4, FALSE)</f>
        <v>7.4019726738492766E-6</v>
      </c>
      <c r="C20" s="4">
        <f>IF(A20&gt;0, 1 - _xlfn.POISSON.DIST(A20 - 1, $E$4, TRUE), 1)</f>
        <v>1.0154964718678272E-5</v>
      </c>
      <c r="R20" s="10"/>
      <c r="S20" s="10"/>
      <c r="T20" s="10"/>
      <c r="U20" s="10"/>
      <c r="V20" s="10"/>
      <c r="W20" s="10"/>
      <c r="X20" s="10"/>
      <c r="Y20" s="10"/>
      <c r="Z20" s="10"/>
    </row>
    <row r="21" spans="1:26" x14ac:dyDescent="0.35">
      <c r="A21" s="3">
        <v>19</v>
      </c>
      <c r="B21" s="4">
        <f>_xlfn.POISSON.DIST(A21, $E$4, FALSE)</f>
        <v>2.0426496425700735E-6</v>
      </c>
      <c r="C21" s="4">
        <f>IF(A21&gt;0, 1 - _xlfn.POISSON.DIST(A21 - 1, $E$4, TRUE), 1)</f>
        <v>2.7529920447744161E-6</v>
      </c>
      <c r="R21" s="10"/>
      <c r="S21" s="10"/>
      <c r="T21" s="10"/>
      <c r="U21" s="10"/>
      <c r="V21" s="10"/>
      <c r="W21" s="10"/>
      <c r="X21" s="10"/>
      <c r="Y21" s="10"/>
      <c r="Z21" s="10"/>
    </row>
    <row r="22" spans="1:26" x14ac:dyDescent="0.35">
      <c r="A22" s="3">
        <v>20</v>
      </c>
      <c r="B22" s="4">
        <f>_xlfn.POISSON.DIST(A22, $E$4, FALSE)</f>
        <v>5.3550544683593624E-7</v>
      </c>
      <c r="C22" s="4">
        <f>IF(A22&gt;0, 1 - _xlfn.POISSON.DIST(A22 - 1, $E$4, TRUE), 1)</f>
        <v>7.1034240223255551E-7</v>
      </c>
      <c r="R22" s="10"/>
      <c r="S22" s="10"/>
      <c r="T22" s="10"/>
      <c r="U22" s="10"/>
      <c r="V22" s="10"/>
      <c r="W22" s="10"/>
      <c r="X22" s="10"/>
      <c r="Y22" s="10"/>
      <c r="Z22" s="10"/>
    </row>
    <row r="23" spans="1:26" x14ac:dyDescent="0.35">
      <c r="B23" s="2"/>
      <c r="C23" s="2"/>
    </row>
    <row r="24" spans="1:26" x14ac:dyDescent="0.35">
      <c r="B24" s="2"/>
      <c r="C24" s="2"/>
    </row>
    <row r="25" spans="1:26" x14ac:dyDescent="0.35">
      <c r="B25" s="2"/>
      <c r="C25" s="2"/>
    </row>
    <row r="26" spans="1:26" x14ac:dyDescent="0.35">
      <c r="B26" s="2"/>
      <c r="C26" s="2"/>
    </row>
    <row r="27" spans="1:26" x14ac:dyDescent="0.35">
      <c r="B27" s="2"/>
      <c r="C27" s="2"/>
    </row>
  </sheetData>
  <mergeCells count="2">
    <mergeCell ref="R3:Z11"/>
    <mergeCell ref="R14:Z22"/>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Tomás González Bartomeu</dc:creator>
  <cp:lastModifiedBy>Tomás González Bartomeu</cp:lastModifiedBy>
  <dcterms:created xsi:type="dcterms:W3CDTF">2026-04-25T11:10:37Z</dcterms:created>
  <dcterms:modified xsi:type="dcterms:W3CDTF">2026-04-25T11:54:09Z</dcterms:modified>
</cp:coreProperties>
</file>